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fg0649\Desktop\Da wd 18\"/>
    </mc:Choice>
  </mc:AlternateContent>
  <bookViews>
    <workbookView xWindow="0" yWindow="0" windowWidth="20490" windowHeight="7650"/>
  </bookViews>
  <sheets>
    <sheet name="Sheet1" sheetId="1" r:id="rId1"/>
    <sheet name="Introduction" sheetId="2" r:id="rId2"/>
    <sheet name="Text Cleaning 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2" l="1"/>
  <c r="F15" i="3"/>
  <c r="F14" i="3"/>
  <c r="F13" i="3"/>
  <c r="E26" i="3"/>
  <c r="E25" i="3"/>
  <c r="F20" i="3"/>
  <c r="E20" i="3"/>
  <c r="I8" i="2"/>
  <c r="F12" i="3"/>
  <c r="F11" i="3"/>
  <c r="F10" i="3"/>
  <c r="F9" i="3"/>
  <c r="F8" i="3"/>
  <c r="F7" i="3"/>
  <c r="F6" i="3"/>
  <c r="F5" i="3"/>
  <c r="F4" i="3"/>
  <c r="I17" i="2"/>
  <c r="I16" i="2"/>
  <c r="I15" i="2"/>
  <c r="I18" i="2" s="1"/>
  <c r="I14" i="2"/>
  <c r="K10" i="2"/>
  <c r="P10" i="2" s="1"/>
  <c r="I11" i="2"/>
  <c r="I10" i="2"/>
  <c r="I7" i="2"/>
  <c r="I6" i="2"/>
  <c r="I5" i="2"/>
  <c r="I4" i="2"/>
  <c r="I3" i="2"/>
  <c r="J26" i="1"/>
  <c r="H29" i="1"/>
  <c r="H28" i="1"/>
  <c r="H27" i="1"/>
  <c r="H26" i="1"/>
  <c r="H25" i="1"/>
  <c r="H24" i="1"/>
  <c r="H16" i="1"/>
  <c r="H17" i="1"/>
  <c r="H18" i="1"/>
  <c r="H19" i="1"/>
  <c r="H20" i="1"/>
  <c r="H21" i="1"/>
  <c r="H22" i="1"/>
  <c r="H15" i="1"/>
  <c r="G16" i="1"/>
  <c r="G15" i="1"/>
  <c r="G17" i="1"/>
  <c r="G18" i="1"/>
  <c r="G19" i="1"/>
  <c r="G20" i="1"/>
  <c r="G21" i="1"/>
  <c r="G22" i="1"/>
  <c r="I20" i="2" l="1"/>
  <c r="I19" i="2"/>
</calcChain>
</file>

<file path=xl/sharedStrings.xml><?xml version="1.0" encoding="utf-8"?>
<sst xmlns="http://schemas.openxmlformats.org/spreadsheetml/2006/main" count="61" uniqueCount="51">
  <si>
    <t>Function</t>
  </si>
  <si>
    <t xml:space="preserve">Concatenate </t>
  </si>
  <si>
    <t xml:space="preserve">Left </t>
  </si>
  <si>
    <t xml:space="preserve">Right </t>
  </si>
  <si>
    <t xml:space="preserve">Len </t>
  </si>
  <si>
    <t xml:space="preserve">Mid </t>
  </si>
  <si>
    <t>Upper</t>
  </si>
  <si>
    <t xml:space="preserve">Lower </t>
  </si>
  <si>
    <t>Proper</t>
  </si>
  <si>
    <t xml:space="preserve">Trim </t>
  </si>
  <si>
    <t>Find</t>
  </si>
  <si>
    <t xml:space="preserve">Search </t>
  </si>
  <si>
    <t xml:space="preserve">Replace </t>
  </si>
  <si>
    <t xml:space="preserve">Dhawal </t>
  </si>
  <si>
    <t xml:space="preserve">Dwivedi </t>
  </si>
  <si>
    <t xml:space="preserve">Text Cleaning </t>
  </si>
  <si>
    <t>Dhawal Dwivedi</t>
  </si>
  <si>
    <t>Dhawal      Dwivedi</t>
  </si>
  <si>
    <t>Min</t>
  </si>
  <si>
    <t xml:space="preserve">Round </t>
  </si>
  <si>
    <t xml:space="preserve">Roundup </t>
  </si>
  <si>
    <t>Rounddown</t>
  </si>
  <si>
    <t xml:space="preserve">Rand </t>
  </si>
  <si>
    <t xml:space="preserve">Count </t>
  </si>
  <si>
    <t xml:space="preserve">Counta </t>
  </si>
  <si>
    <t>Countif</t>
  </si>
  <si>
    <t xml:space="preserve">Now </t>
  </si>
  <si>
    <t xml:space="preserve">Today </t>
  </si>
  <si>
    <t xml:space="preserve">Date </t>
  </si>
  <si>
    <t xml:space="preserve">Time </t>
  </si>
  <si>
    <t>Datedif (Days)</t>
  </si>
  <si>
    <t>Datedif (Month)</t>
  </si>
  <si>
    <t>Datedif(Years)</t>
  </si>
  <si>
    <t xml:space="preserve">Statistical Functions </t>
  </si>
  <si>
    <t xml:space="preserve">Date and Time Functions </t>
  </si>
  <si>
    <t>Max</t>
  </si>
  <si>
    <t>Sum</t>
  </si>
  <si>
    <t>Average</t>
  </si>
  <si>
    <t xml:space="preserve">find the total sum </t>
  </si>
  <si>
    <t xml:space="preserve">sum of odd rows </t>
  </si>
  <si>
    <t xml:space="preserve">sum of even rows </t>
  </si>
  <si>
    <t xml:space="preserve">average of odd rows </t>
  </si>
  <si>
    <t xml:space="preserve">average of even rows </t>
  </si>
  <si>
    <t xml:space="preserve">total average </t>
  </si>
  <si>
    <t>abc</t>
  </si>
  <si>
    <t>data</t>
  </si>
  <si>
    <t>dhawal dwivedi</t>
  </si>
  <si>
    <t xml:space="preserve">      data science </t>
  </si>
  <si>
    <t xml:space="preserve">Data Science </t>
  </si>
  <si>
    <t xml:space="preserve">data science </t>
  </si>
  <si>
    <t>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</si>
</sst>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2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3" borderId="0" xfId="0" applyFont="1" applyFill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4" fillId="2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Font="1" applyBorder="1"/>
    <xf numFmtId="22" fontId="0" fillId="0" borderId="1" xfId="0" applyNumberFormat="1" applyBorder="1"/>
    <xf numFmtId="14" fontId="0" fillId="0" borderId="1" xfId="0" applyNumberFormat="1" applyBorder="1"/>
    <xf numFmtId="18" fontId="0" fillId="0" borderId="1" xfId="0" applyNumberFormat="1" applyBorder="1"/>
    <xf numFmtId="14" fontId="0" fillId="0" borderId="0" xfId="0" applyNumberForma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J31"/>
  <sheetViews>
    <sheetView tabSelected="1" topLeftCell="C21" zoomScale="164" workbookViewId="0">
      <selection activeCell="J27" sqref="J27"/>
    </sheetView>
  </sheetViews>
  <sheetFormatPr defaultRowHeight="15" x14ac:dyDescent="0.25"/>
  <cols>
    <col min="4" max="4" width="12.7109375" customWidth="1"/>
    <col min="7" max="7" width="29" customWidth="1"/>
    <col min="8" max="8" width="17.28515625" customWidth="1"/>
  </cols>
  <sheetData>
    <row r="5" spans="3:9" x14ac:dyDescent="0.25">
      <c r="D5">
        <v>1</v>
      </c>
      <c r="E5">
        <v>5</v>
      </c>
      <c r="F5">
        <v>10</v>
      </c>
      <c r="G5">
        <v>14.3333333333333</v>
      </c>
      <c r="H5">
        <v>18.8333333333333</v>
      </c>
      <c r="I5">
        <v>23.3333333333333</v>
      </c>
    </row>
    <row r="6" spans="3:9" x14ac:dyDescent="0.25">
      <c r="D6">
        <v>2</v>
      </c>
    </row>
    <row r="7" spans="3:9" x14ac:dyDescent="0.25">
      <c r="D7">
        <v>3</v>
      </c>
    </row>
    <row r="8" spans="3:9" x14ac:dyDescent="0.25">
      <c r="D8">
        <v>4</v>
      </c>
    </row>
    <row r="9" spans="3:9" x14ac:dyDescent="0.25">
      <c r="D9">
        <v>5</v>
      </c>
    </row>
    <row r="10" spans="3:9" x14ac:dyDescent="0.25">
      <c r="D10">
        <v>6</v>
      </c>
    </row>
    <row r="11" spans="3:9" x14ac:dyDescent="0.25">
      <c r="D11">
        <v>7</v>
      </c>
    </row>
    <row r="12" spans="3:9" x14ac:dyDescent="0.25">
      <c r="D12">
        <v>8</v>
      </c>
    </row>
    <row r="14" spans="3:9" x14ac:dyDescent="0.25">
      <c r="G14" s="16" t="s">
        <v>36</v>
      </c>
      <c r="H14" s="16" t="s">
        <v>37</v>
      </c>
    </row>
    <row r="15" spans="3:9" x14ac:dyDescent="0.25">
      <c r="C15">
        <v>1</v>
      </c>
      <c r="D15">
        <v>34</v>
      </c>
      <c r="E15">
        <v>0</v>
      </c>
      <c r="F15">
        <v>9</v>
      </c>
      <c r="G15">
        <f>SUM(C15:F15)</f>
        <v>44</v>
      </c>
      <c r="H15">
        <f>AVERAGE(C15:F15)</f>
        <v>11</v>
      </c>
    </row>
    <row r="16" spans="3:9" x14ac:dyDescent="0.25">
      <c r="C16">
        <v>2</v>
      </c>
      <c r="D16">
        <v>45</v>
      </c>
      <c r="E16">
        <v>4</v>
      </c>
      <c r="F16">
        <v>3</v>
      </c>
      <c r="G16">
        <f>SUM(C16:F16)</f>
        <v>54</v>
      </c>
      <c r="H16">
        <f t="shared" ref="H16:H22" si="0">AVERAGE(C16:F16)</f>
        <v>13.5</v>
      </c>
    </row>
    <row r="17" spans="3:10" x14ac:dyDescent="0.25">
      <c r="C17">
        <v>3</v>
      </c>
      <c r="D17">
        <v>56</v>
      </c>
      <c r="E17">
        <v>5</v>
      </c>
      <c r="F17">
        <v>4</v>
      </c>
      <c r="G17">
        <f t="shared" ref="G16:G22" si="1">SUM(C17:F17)</f>
        <v>68</v>
      </c>
      <c r="H17">
        <f t="shared" si="0"/>
        <v>17</v>
      </c>
    </row>
    <row r="18" spans="3:10" x14ac:dyDescent="0.25">
      <c r="C18">
        <v>4</v>
      </c>
      <c r="D18">
        <v>67</v>
      </c>
      <c r="E18">
        <v>6</v>
      </c>
      <c r="F18">
        <v>44</v>
      </c>
      <c r="G18">
        <f t="shared" si="1"/>
        <v>121</v>
      </c>
      <c r="H18">
        <f t="shared" si="0"/>
        <v>30.25</v>
      </c>
    </row>
    <row r="19" spans="3:10" x14ac:dyDescent="0.25">
      <c r="C19">
        <v>5</v>
      </c>
      <c r="D19">
        <v>78</v>
      </c>
      <c r="E19">
        <v>7</v>
      </c>
      <c r="F19">
        <v>67</v>
      </c>
      <c r="G19">
        <f t="shared" si="1"/>
        <v>157</v>
      </c>
      <c r="H19">
        <f t="shared" si="0"/>
        <v>39.25</v>
      </c>
    </row>
    <row r="20" spans="3:10" x14ac:dyDescent="0.25">
      <c r="C20">
        <v>6</v>
      </c>
      <c r="D20">
        <v>89</v>
      </c>
      <c r="E20">
        <v>8</v>
      </c>
      <c r="F20">
        <v>21</v>
      </c>
      <c r="G20">
        <f t="shared" si="1"/>
        <v>124</v>
      </c>
      <c r="H20">
        <f t="shared" si="0"/>
        <v>31</v>
      </c>
    </row>
    <row r="21" spans="3:10" x14ac:dyDescent="0.25">
      <c r="C21">
        <v>7</v>
      </c>
      <c r="D21">
        <v>100</v>
      </c>
      <c r="E21">
        <v>9</v>
      </c>
      <c r="F21">
        <v>22</v>
      </c>
      <c r="G21">
        <f t="shared" si="1"/>
        <v>138</v>
      </c>
      <c r="H21">
        <f t="shared" si="0"/>
        <v>34.5</v>
      </c>
    </row>
    <row r="22" spans="3:10" x14ac:dyDescent="0.25">
      <c r="C22">
        <v>8</v>
      </c>
      <c r="D22">
        <v>111</v>
      </c>
      <c r="E22">
        <v>10</v>
      </c>
      <c r="F22">
        <v>33</v>
      </c>
      <c r="G22">
        <f t="shared" si="1"/>
        <v>162</v>
      </c>
      <c r="H22">
        <f t="shared" si="0"/>
        <v>40.5</v>
      </c>
    </row>
    <row r="24" spans="3:10" x14ac:dyDescent="0.25">
      <c r="C24">
        <v>1</v>
      </c>
      <c r="D24">
        <v>34</v>
      </c>
      <c r="E24">
        <v>0</v>
      </c>
      <c r="F24">
        <v>9</v>
      </c>
      <c r="G24" s="15" t="s">
        <v>38</v>
      </c>
      <c r="H24">
        <f>SUM(C24:F31)</f>
        <v>868</v>
      </c>
    </row>
    <row r="25" spans="3:10" x14ac:dyDescent="0.25">
      <c r="C25">
        <v>2</v>
      </c>
      <c r="D25">
        <v>45</v>
      </c>
      <c r="E25">
        <v>4</v>
      </c>
      <c r="F25">
        <v>3</v>
      </c>
      <c r="G25" s="15" t="s">
        <v>39</v>
      </c>
      <c r="H25">
        <f>SUM(C24:F24,C26:F26,C28:F28,C30:F30)</f>
        <v>407</v>
      </c>
    </row>
    <row r="26" spans="3:10" x14ac:dyDescent="0.25">
      <c r="C26">
        <v>3</v>
      </c>
      <c r="D26">
        <v>56</v>
      </c>
      <c r="E26">
        <v>5</v>
      </c>
      <c r="F26">
        <v>4</v>
      </c>
      <c r="G26" s="15" t="s">
        <v>40</v>
      </c>
      <c r="H26">
        <f>SUM(C25:F25,C27:F27,C29:F29,C31:F31)</f>
        <v>461</v>
      </c>
      <c r="J26">
        <f>H25+H26</f>
        <v>868</v>
      </c>
    </row>
    <row r="27" spans="3:10" x14ac:dyDescent="0.25">
      <c r="C27">
        <v>4</v>
      </c>
      <c r="D27">
        <v>67</v>
      </c>
      <c r="E27">
        <v>6</v>
      </c>
      <c r="F27">
        <v>44</v>
      </c>
      <c r="G27" s="15" t="s">
        <v>41</v>
      </c>
      <c r="H27">
        <f>AVERAGE(C24:F24,C26:F26,C28:F28,C30:F30)</f>
        <v>25.4375</v>
      </c>
    </row>
    <row r="28" spans="3:10" x14ac:dyDescent="0.25">
      <c r="C28">
        <v>5</v>
      </c>
      <c r="D28">
        <v>78</v>
      </c>
      <c r="E28">
        <v>7</v>
      </c>
      <c r="F28">
        <v>67</v>
      </c>
      <c r="G28" s="15" t="s">
        <v>42</v>
      </c>
      <c r="H28">
        <f>AVERAGE(C25:F25,C27:F27,C29:F29,C31:F31)</f>
        <v>28.8125</v>
      </c>
    </row>
    <row r="29" spans="3:10" x14ac:dyDescent="0.25">
      <c r="C29">
        <v>6</v>
      </c>
      <c r="D29">
        <v>89</v>
      </c>
      <c r="E29">
        <v>8</v>
      </c>
      <c r="F29">
        <v>21</v>
      </c>
      <c r="G29" s="15" t="s">
        <v>43</v>
      </c>
      <c r="H29">
        <f>AVERAGE(C24:F31)</f>
        <v>27.125</v>
      </c>
    </row>
    <row r="30" spans="3:10" x14ac:dyDescent="0.25">
      <c r="C30">
        <v>7</v>
      </c>
      <c r="D30">
        <v>100</v>
      </c>
      <c r="E30">
        <v>9</v>
      </c>
      <c r="F30">
        <v>22</v>
      </c>
    </row>
    <row r="31" spans="3:10" x14ac:dyDescent="0.25">
      <c r="C31">
        <v>8</v>
      </c>
      <c r="D31">
        <v>111</v>
      </c>
      <c r="E31">
        <v>10</v>
      </c>
      <c r="F31">
        <v>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20"/>
  <sheetViews>
    <sheetView topLeftCell="A7" zoomScale="127" workbookViewId="0">
      <selection activeCell="I20" sqref="I20"/>
    </sheetView>
  </sheetViews>
  <sheetFormatPr defaultRowHeight="21" x14ac:dyDescent="0.35"/>
  <cols>
    <col min="1" max="1" width="18.85546875" customWidth="1"/>
    <col min="2" max="2" width="15.140625" style="1" customWidth="1"/>
    <col min="8" max="8" width="26.42578125" customWidth="1"/>
    <col min="9" max="9" width="34.28515625" customWidth="1"/>
    <col min="11" max="11" width="10.42578125" bestFit="1" customWidth="1"/>
  </cols>
  <sheetData>
    <row r="3" spans="2:16" x14ac:dyDescent="0.35">
      <c r="B3" s="4" t="s">
        <v>35</v>
      </c>
      <c r="C3" s="3">
        <v>2</v>
      </c>
      <c r="D3" s="3">
        <v>33</v>
      </c>
      <c r="E3" s="3">
        <v>44</v>
      </c>
      <c r="F3" s="3">
        <v>32</v>
      </c>
      <c r="G3" s="3">
        <v>27</v>
      </c>
      <c r="H3" s="3">
        <v>51</v>
      </c>
      <c r="I3" s="3">
        <f>MAX(C3:H3)</f>
        <v>51</v>
      </c>
    </row>
    <row r="4" spans="2:16" x14ac:dyDescent="0.35">
      <c r="B4" s="4" t="s">
        <v>18</v>
      </c>
      <c r="C4" s="3">
        <v>2</v>
      </c>
      <c r="D4" s="3">
        <v>33</v>
      </c>
      <c r="E4" s="3">
        <v>44</v>
      </c>
      <c r="F4" s="3">
        <v>32</v>
      </c>
      <c r="G4" s="3">
        <v>27</v>
      </c>
      <c r="H4" s="3">
        <v>51</v>
      </c>
      <c r="I4" s="3">
        <f>MIN(C4:H4)</f>
        <v>2</v>
      </c>
    </row>
    <row r="5" spans="2:16" x14ac:dyDescent="0.35">
      <c r="B5" s="4" t="s">
        <v>19</v>
      </c>
      <c r="C5" s="3"/>
      <c r="D5" s="3"/>
      <c r="E5" s="3"/>
      <c r="F5" s="3"/>
      <c r="G5" s="3"/>
      <c r="H5" s="3">
        <v>34.456333000000001</v>
      </c>
      <c r="I5" s="3">
        <f>ROUND(H5,0)</f>
        <v>34</v>
      </c>
    </row>
    <row r="6" spans="2:16" x14ac:dyDescent="0.35">
      <c r="B6" s="4" t="s">
        <v>20</v>
      </c>
      <c r="C6" s="3"/>
      <c r="D6" s="3"/>
      <c r="E6" s="3"/>
      <c r="F6" s="3"/>
      <c r="G6" s="3"/>
      <c r="H6" s="3">
        <v>34.442332999999998</v>
      </c>
      <c r="I6" s="3">
        <f>ROUNDUP(H6,2)</f>
        <v>34.449999999999996</v>
      </c>
    </row>
    <row r="7" spans="2:16" x14ac:dyDescent="0.35">
      <c r="B7" s="4" t="s">
        <v>21</v>
      </c>
      <c r="C7" s="3"/>
      <c r="D7" s="3"/>
      <c r="E7" s="3"/>
      <c r="F7" s="3"/>
      <c r="G7" s="3"/>
      <c r="H7" s="3">
        <v>34.448332999999998</v>
      </c>
      <c r="I7" s="3">
        <f>ROUNDDOWN(H7,2)</f>
        <v>34.44</v>
      </c>
    </row>
    <row r="8" spans="2:16" x14ac:dyDescent="0.35">
      <c r="B8" s="4" t="s">
        <v>22</v>
      </c>
      <c r="C8" s="3"/>
      <c r="D8" s="3"/>
      <c r="E8" s="3"/>
      <c r="F8" s="3"/>
      <c r="G8" s="3"/>
      <c r="H8" s="3"/>
      <c r="I8" s="3">
        <f ca="1">ROUND(RAND(),3)*100</f>
        <v>96.899999999999991</v>
      </c>
    </row>
    <row r="9" spans="2:16" ht="21" customHeight="1" x14ac:dyDescent="0.35">
      <c r="B9" s="8" t="s">
        <v>33</v>
      </c>
      <c r="C9" s="8"/>
      <c r="D9" s="8"/>
      <c r="E9" s="8"/>
      <c r="F9" s="8"/>
      <c r="G9" s="8"/>
      <c r="H9" s="8"/>
      <c r="I9" s="8"/>
    </row>
    <row r="10" spans="2:16" x14ac:dyDescent="0.35">
      <c r="B10" s="4" t="s">
        <v>23</v>
      </c>
      <c r="C10" s="3">
        <v>2</v>
      </c>
      <c r="D10" s="3" t="s">
        <v>45</v>
      </c>
      <c r="E10" s="3">
        <v>4</v>
      </c>
      <c r="F10" s="3">
        <v>55</v>
      </c>
      <c r="G10" s="3" t="s">
        <v>44</v>
      </c>
      <c r="H10" s="3">
        <v>32</v>
      </c>
      <c r="I10" s="3">
        <f>COUNT(C10:H10)</f>
        <v>4</v>
      </c>
      <c r="K10">
        <f>COUNTBLANK(C11:H11)</f>
        <v>1</v>
      </c>
      <c r="P10">
        <f>COUNTBLANK(K10:N10)</f>
        <v>3</v>
      </c>
    </row>
    <row r="11" spans="2:16" x14ac:dyDescent="0.35">
      <c r="B11" s="4" t="s">
        <v>24</v>
      </c>
      <c r="C11" s="3">
        <v>2</v>
      </c>
      <c r="D11" s="3" t="s">
        <v>45</v>
      </c>
      <c r="E11" s="3">
        <v>4</v>
      </c>
      <c r="F11" s="3"/>
      <c r="G11" s="3" t="s">
        <v>44</v>
      </c>
      <c r="H11" s="3">
        <v>32</v>
      </c>
      <c r="I11" s="3">
        <f>COUNTA(C11:H11)</f>
        <v>5</v>
      </c>
    </row>
    <row r="12" spans="2:16" x14ac:dyDescent="0.35">
      <c r="B12" s="4" t="s">
        <v>25</v>
      </c>
      <c r="C12" s="3">
        <v>2</v>
      </c>
      <c r="D12" s="3">
        <v>22</v>
      </c>
      <c r="E12" s="3">
        <v>37</v>
      </c>
      <c r="F12" s="3">
        <v>9</v>
      </c>
      <c r="G12" s="3">
        <v>24</v>
      </c>
      <c r="H12" s="3">
        <v>54</v>
      </c>
      <c r="I12" s="3">
        <f>COUNTIF(C12:H12,"&lt;20")</f>
        <v>2</v>
      </c>
    </row>
    <row r="13" spans="2:16" ht="21" customHeight="1" x14ac:dyDescent="0.35">
      <c r="B13" s="8" t="s">
        <v>34</v>
      </c>
      <c r="C13" s="8"/>
      <c r="D13" s="8"/>
      <c r="E13" s="8"/>
      <c r="F13" s="8"/>
      <c r="G13" s="8"/>
      <c r="H13" s="8"/>
      <c r="I13" s="8"/>
    </row>
    <row r="14" spans="2:16" x14ac:dyDescent="0.35">
      <c r="B14" s="4" t="s">
        <v>26</v>
      </c>
      <c r="C14" s="3"/>
      <c r="D14" s="3"/>
      <c r="E14" s="3"/>
      <c r="F14" s="3"/>
      <c r="G14" s="3"/>
      <c r="H14" s="3"/>
      <c r="I14" s="11">
        <f ca="1">NOW()</f>
        <v>46162.752510879633</v>
      </c>
    </row>
    <row r="15" spans="2:16" x14ac:dyDescent="0.35">
      <c r="B15" s="4" t="s">
        <v>27</v>
      </c>
      <c r="C15" s="3"/>
      <c r="D15" s="3"/>
      <c r="E15" s="3"/>
      <c r="F15" s="3"/>
      <c r="G15" s="3"/>
      <c r="H15" s="3"/>
      <c r="I15" s="12">
        <f ca="1">TODAY()</f>
        <v>46162</v>
      </c>
      <c r="K15" s="14"/>
    </row>
    <row r="16" spans="2:16" x14ac:dyDescent="0.35">
      <c r="B16" s="4" t="s">
        <v>28</v>
      </c>
      <c r="C16" s="3"/>
      <c r="D16" s="3"/>
      <c r="E16" s="3"/>
      <c r="F16" s="3"/>
      <c r="G16" s="3"/>
      <c r="H16" s="3"/>
      <c r="I16" s="12">
        <f>DATE(2024,6,12)</f>
        <v>45455</v>
      </c>
    </row>
    <row r="17" spans="2:9" x14ac:dyDescent="0.35">
      <c r="B17" s="4" t="s">
        <v>29</v>
      </c>
      <c r="C17" s="3"/>
      <c r="D17" s="3"/>
      <c r="E17" s="3"/>
      <c r="F17" s="3"/>
      <c r="G17" s="3"/>
      <c r="H17" s="3"/>
      <c r="I17" s="13">
        <f>TIME(3,32,43)</f>
        <v>0.1477199074074074</v>
      </c>
    </row>
    <row r="18" spans="2:9" x14ac:dyDescent="0.35">
      <c r="B18" s="4" t="s">
        <v>30</v>
      </c>
      <c r="C18" s="3"/>
      <c r="D18" s="3"/>
      <c r="E18" s="3"/>
      <c r="F18" s="3"/>
      <c r="G18" s="3"/>
      <c r="H18" s="3"/>
      <c r="I18" s="3">
        <f ca="1">DATEDIF(I16,I15,"d")</f>
        <v>707</v>
      </c>
    </row>
    <row r="19" spans="2:9" x14ac:dyDescent="0.35">
      <c r="B19" s="4" t="s">
        <v>31</v>
      </c>
      <c r="C19" s="3"/>
      <c r="D19" s="3"/>
      <c r="E19" s="3"/>
      <c r="F19" s="3"/>
      <c r="G19" s="3"/>
      <c r="H19" s="3"/>
      <c r="I19" s="3">
        <f ca="1">DATEDIF(I16,I15,"m")</f>
        <v>23</v>
      </c>
    </row>
    <row r="20" spans="2:9" x14ac:dyDescent="0.35">
      <c r="B20" s="4" t="s">
        <v>32</v>
      </c>
      <c r="C20" s="3"/>
      <c r="D20" s="3"/>
      <c r="E20" s="3"/>
      <c r="F20" s="3"/>
      <c r="G20" s="3"/>
      <c r="H20" s="3"/>
      <c r="I20" s="3">
        <f ca="1">DATEDIF(I16,I15,"y")</f>
        <v>1</v>
      </c>
    </row>
  </sheetData>
  <mergeCells count="2">
    <mergeCell ref="B9:I9"/>
    <mergeCell ref="B13:I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26"/>
  <sheetViews>
    <sheetView zoomScale="121" workbookViewId="0">
      <selection activeCell="F16" sqref="F16"/>
    </sheetView>
  </sheetViews>
  <sheetFormatPr defaultRowHeight="15" x14ac:dyDescent="0.25"/>
  <cols>
    <col min="3" max="3" width="19" customWidth="1"/>
    <col min="4" max="4" width="24.7109375" customWidth="1"/>
    <col min="5" max="5" width="16" customWidth="1"/>
    <col min="6" max="6" width="26.85546875" customWidth="1"/>
  </cols>
  <sheetData>
    <row r="2" spans="3:8" ht="33.75" x14ac:dyDescent="0.5">
      <c r="C2" s="9" t="s">
        <v>15</v>
      </c>
      <c r="D2" s="9"/>
      <c r="E2" s="9"/>
      <c r="F2" s="9"/>
      <c r="G2" s="2"/>
      <c r="H2" s="2"/>
    </row>
    <row r="3" spans="3:8" ht="26.25" x14ac:dyDescent="0.4">
      <c r="C3" s="5" t="s">
        <v>0</v>
      </c>
      <c r="D3" s="3"/>
      <c r="E3" s="3"/>
      <c r="F3" s="3"/>
    </row>
    <row r="4" spans="3:8" ht="21" x14ac:dyDescent="0.35">
      <c r="C4" s="6" t="s">
        <v>1</v>
      </c>
      <c r="D4" s="7" t="s">
        <v>13</v>
      </c>
      <c r="E4" s="7" t="s">
        <v>14</v>
      </c>
      <c r="F4" s="7" t="str">
        <f>CONCATENATE(D4,"  ",E4)</f>
        <v xml:space="preserve">Dhawal   Dwivedi </v>
      </c>
    </row>
    <row r="5" spans="3:8" ht="21" x14ac:dyDescent="0.35">
      <c r="C5" s="6" t="s">
        <v>2</v>
      </c>
      <c r="D5" s="7" t="s">
        <v>16</v>
      </c>
      <c r="E5" s="7"/>
      <c r="F5" s="7" t="str">
        <f>LEFT(D5,4)</f>
        <v>Dhaw</v>
      </c>
    </row>
    <row r="6" spans="3:8" ht="21" x14ac:dyDescent="0.35">
      <c r="C6" s="6" t="s">
        <v>3</v>
      </c>
      <c r="D6" s="7" t="s">
        <v>16</v>
      </c>
      <c r="E6" s="7"/>
      <c r="F6" s="7" t="str">
        <f>RIGHT(D6,5)</f>
        <v>ivedi</v>
      </c>
    </row>
    <row r="7" spans="3:8" ht="21" x14ac:dyDescent="0.35">
      <c r="C7" s="6" t="s">
        <v>4</v>
      </c>
      <c r="D7" s="7" t="s">
        <v>16</v>
      </c>
      <c r="E7" s="7"/>
      <c r="F7" s="7">
        <f>LEN(D7)</f>
        <v>14</v>
      </c>
    </row>
    <row r="8" spans="3:8" ht="21" x14ac:dyDescent="0.35">
      <c r="C8" s="6" t="s">
        <v>5</v>
      </c>
      <c r="D8" s="7" t="s">
        <v>16</v>
      </c>
      <c r="E8" s="7"/>
      <c r="F8" s="10" t="str">
        <f>MID(D8,4,5)</f>
        <v>wal D</v>
      </c>
    </row>
    <row r="9" spans="3:8" ht="21" x14ac:dyDescent="0.35">
      <c r="C9" s="6" t="s">
        <v>7</v>
      </c>
      <c r="D9" s="7" t="s">
        <v>16</v>
      </c>
      <c r="E9" s="7"/>
      <c r="F9" s="7" t="str">
        <f>LOWER(D9)</f>
        <v>dhawal dwivedi</v>
      </c>
    </row>
    <row r="10" spans="3:8" ht="21" x14ac:dyDescent="0.35">
      <c r="C10" s="6" t="s">
        <v>6</v>
      </c>
      <c r="D10" s="7" t="s">
        <v>16</v>
      </c>
      <c r="E10" s="7"/>
      <c r="F10" s="7" t="str">
        <f>UPPER(D10)</f>
        <v>DHAWAL DWIVEDI</v>
      </c>
    </row>
    <row r="11" spans="3:8" ht="21" x14ac:dyDescent="0.35">
      <c r="C11" s="6" t="s">
        <v>8</v>
      </c>
      <c r="D11" s="7" t="s">
        <v>46</v>
      </c>
      <c r="E11" s="7"/>
      <c r="F11" s="7" t="str">
        <f>PROPER(D11)</f>
        <v>Dhawal Dwivedi</v>
      </c>
    </row>
    <row r="12" spans="3:8" ht="21" x14ac:dyDescent="0.35">
      <c r="C12" s="6" t="s">
        <v>9</v>
      </c>
      <c r="D12" s="7" t="s">
        <v>17</v>
      </c>
      <c r="E12" s="7"/>
      <c r="F12" s="7" t="str">
        <f>TRIM(D12)</f>
        <v>Dhawal Dwivedi</v>
      </c>
    </row>
    <row r="13" spans="3:8" ht="21" x14ac:dyDescent="0.35">
      <c r="C13" s="6" t="s">
        <v>10</v>
      </c>
      <c r="D13" s="7" t="s">
        <v>16</v>
      </c>
      <c r="E13" s="7"/>
      <c r="F13" s="7">
        <f>FIND("d",D13,3)</f>
        <v>13</v>
      </c>
    </row>
    <row r="14" spans="3:8" ht="21" x14ac:dyDescent="0.35">
      <c r="C14" s="6" t="s">
        <v>11</v>
      </c>
      <c r="D14" s="7" t="s">
        <v>16</v>
      </c>
      <c r="E14" s="7"/>
      <c r="F14" s="7">
        <f>SEARCH("d",D14,3)</f>
        <v>8</v>
      </c>
    </row>
    <row r="15" spans="3:8" ht="21" x14ac:dyDescent="0.35">
      <c r="C15" s="6" t="s">
        <v>12</v>
      </c>
      <c r="D15" s="7" t="s">
        <v>16</v>
      </c>
      <c r="E15" s="7"/>
      <c r="F15" s="7" t="str">
        <f>REPLACE(D15,7,1,"--")</f>
        <v>Dhawal--Dwivedi</v>
      </c>
    </row>
    <row r="20" spans="4:6" x14ac:dyDescent="0.25">
      <c r="D20" t="s">
        <v>47</v>
      </c>
      <c r="E20" t="str">
        <f>TRIM(PROPER(D20))</f>
        <v>Data Science</v>
      </c>
      <c r="F20" t="str">
        <f>PROPER(LEFT(TRIM(D20),3))</f>
        <v>Dat</v>
      </c>
    </row>
    <row r="22" spans="4:6" x14ac:dyDescent="0.25">
      <c r="D22" t="s">
        <v>49</v>
      </c>
      <c r="E22" t="s">
        <v>50</v>
      </c>
    </row>
    <row r="25" spans="4:6" x14ac:dyDescent="0.25">
      <c r="D25" t="s">
        <v>48</v>
      </c>
      <c r="E25" t="e">
        <f>FIND("s",D25,1)</f>
        <v>#VALUE!</v>
      </c>
    </row>
    <row r="26" spans="4:6" x14ac:dyDescent="0.25">
      <c r="E26">
        <f>SEARCH("s",D25,3)</f>
        <v>6</v>
      </c>
    </row>
  </sheetData>
  <mergeCells count="1">
    <mergeCell ref="C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Introduction</vt:lpstr>
      <vt:lpstr>Text Cleaning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Dhawal Dwivedi</dc:creator>
  <cp:lastModifiedBy>Dhawal Dwivedi</cp:lastModifiedBy>
  <dcterms:created xsi:type="dcterms:W3CDTF">2026-05-19T10:30:52Z</dcterms:created>
  <dcterms:modified xsi:type="dcterms:W3CDTF">2026-05-20T12:46:03Z</dcterms:modified>
</cp:coreProperties>
</file>