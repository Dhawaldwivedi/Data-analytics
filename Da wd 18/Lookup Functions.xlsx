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fg0649\Desktop\Da wd 18\"/>
    </mc:Choice>
  </mc:AlternateContent>
  <bookViews>
    <workbookView xWindow="0" yWindow="0" windowWidth="20490" windowHeight="7650" activeTab="4"/>
  </bookViews>
  <sheets>
    <sheet name="Main Sheet" sheetId="1" r:id="rId1"/>
    <sheet name="Sheet4" sheetId="5" r:id="rId2"/>
    <sheet name="Sheet2" sheetId="2" r:id="rId3"/>
    <sheet name="Sheet3" sheetId="4" r:id="rId4"/>
    <sheet name="Final Sheet " sheetId="3" r:id="rId5"/>
  </sheets>
  <calcPr calcId="162913"/>
</workbook>
</file>

<file path=xl/calcChain.xml><?xml version="1.0" encoding="utf-8"?>
<calcChain xmlns="http://schemas.openxmlformats.org/spreadsheetml/2006/main">
  <c r="C19" i="3" l="1"/>
  <c r="E3" i="3"/>
  <c r="E4" i="3"/>
  <c r="E5" i="3"/>
  <c r="E6" i="3"/>
  <c r="E7" i="3"/>
  <c r="E8" i="3"/>
  <c r="E9" i="3"/>
  <c r="E10" i="3"/>
  <c r="E11" i="3"/>
  <c r="E2" i="3"/>
  <c r="D2" i="3"/>
  <c r="D3" i="3"/>
  <c r="D4" i="3"/>
  <c r="D5" i="3"/>
  <c r="D6" i="3"/>
  <c r="D7" i="3"/>
  <c r="D8" i="3"/>
  <c r="D9" i="3"/>
  <c r="D10" i="3"/>
  <c r="D11" i="3"/>
  <c r="C3" i="3"/>
  <c r="C4" i="3"/>
  <c r="C5" i="3"/>
  <c r="C6" i="3"/>
  <c r="C7" i="3"/>
  <c r="C8" i="3"/>
  <c r="C9" i="3"/>
  <c r="C10" i="3"/>
  <c r="C11" i="3"/>
  <c r="B3" i="3"/>
  <c r="B4" i="3"/>
  <c r="B5" i="3"/>
  <c r="B6" i="3"/>
  <c r="B7" i="3"/>
  <c r="B8" i="3"/>
  <c r="B9" i="3"/>
  <c r="B10" i="3"/>
  <c r="B11" i="3"/>
  <c r="C2" i="3"/>
  <c r="B2" i="3"/>
  <c r="I7" i="1"/>
  <c r="I6" i="1"/>
  <c r="I9" i="1"/>
</calcChain>
</file>

<file path=xl/sharedStrings.xml><?xml version="1.0" encoding="utf-8"?>
<sst xmlns="http://schemas.openxmlformats.org/spreadsheetml/2006/main" count="78" uniqueCount="30">
  <si>
    <t>Name</t>
  </si>
  <si>
    <t>Math</t>
  </si>
  <si>
    <t>Science</t>
  </si>
  <si>
    <t>English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</si>
  <si>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</si>
  <si>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</si>
  <si>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</si>
  <si>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</si>
  <si>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</si>
  <si>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</si>
  <si>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</si>
  <si>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</si>
  <si>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</si>
  <si>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</si>
  <si>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</si>
  <si>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</si>
  <si>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</si>
  <si>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</si>
  <si>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</si>
  <si>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</si>
  <si>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</si>
  <si>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</si>
  <si>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</si>
  <si>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Maths</t>
  </si>
  <si>
    <t xml:space="preserve">Science </t>
  </si>
  <si>
    <t>Aggregate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</si>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</sst>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128" zoomScaleNormal="106" workbookViewId="0">
      <selection activeCell="B7" sqref="B7"/>
    </sheetView>
  </sheetViews>
  <sheetFormatPr defaultRowHeight="15" x14ac:dyDescent="0.25"/>
  <cols>
    <col min="1" max="1" width="19.85546875" customWidth="1"/>
    <col min="9" max="9" width="39.85546875" customWidth="1"/>
    <col min="10" max="10" width="16.85546875" customWidth="1"/>
    <col min="14" max="14" width="25.7109375" customWidth="1"/>
    <col min="15" max="15" width="27.28515625" customWidth="1"/>
    <col min="16" max="16" width="28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J1" s="1"/>
      <c r="K1" s="1"/>
      <c r="L1" s="1"/>
      <c r="M1" s="1"/>
    </row>
    <row r="2" spans="1:14" x14ac:dyDescent="0.25">
      <c r="A2" t="s">
        <v>4</v>
      </c>
      <c r="B2">
        <v>80</v>
      </c>
      <c r="C2">
        <v>46</v>
      </c>
      <c r="D2">
        <v>82</v>
      </c>
    </row>
    <row r="3" spans="1:14" x14ac:dyDescent="0.25">
      <c r="A3" t="s">
        <v>5</v>
      </c>
      <c r="B3">
        <v>47</v>
      </c>
      <c r="C3">
        <v>45</v>
      </c>
      <c r="D3">
        <v>57</v>
      </c>
    </row>
    <row r="4" spans="1:14" x14ac:dyDescent="0.25">
      <c r="A4" t="s">
        <v>6</v>
      </c>
      <c r="B4">
        <v>41</v>
      </c>
      <c r="C4">
        <v>64</v>
      </c>
      <c r="D4">
        <v>84</v>
      </c>
    </row>
    <row r="5" spans="1:14" x14ac:dyDescent="0.25">
      <c r="A5" t="s">
        <v>7</v>
      </c>
      <c r="B5">
        <v>87</v>
      </c>
      <c r="C5">
        <v>46</v>
      </c>
      <c r="D5">
        <v>99</v>
      </c>
    </row>
    <row r="6" spans="1:14" x14ac:dyDescent="0.25">
      <c r="A6" t="s">
        <v>8</v>
      </c>
      <c r="B6">
        <v>67</v>
      </c>
      <c r="C6">
        <v>62</v>
      </c>
      <c r="D6">
        <v>83</v>
      </c>
      <c r="I6">
        <f>VLOOKUP("Student_10",A1:D20,4,FALSE)</f>
        <v>50</v>
      </c>
    </row>
    <row r="7" spans="1:14" x14ac:dyDescent="0.25">
      <c r="A7" t="s">
        <v>9</v>
      </c>
      <c r="B7">
        <v>55</v>
      </c>
      <c r="C7">
        <v>94</v>
      </c>
      <c r="D7">
        <v>81</v>
      </c>
      <c r="I7">
        <f>VLOOKUP(A6,A1:D20,2,FALSE)</f>
        <v>67</v>
      </c>
    </row>
    <row r="8" spans="1:14" x14ac:dyDescent="0.25">
      <c r="A8" t="s">
        <v>10</v>
      </c>
      <c r="B8">
        <v>54</v>
      </c>
      <c r="C8">
        <v>62</v>
      </c>
      <c r="D8">
        <v>44</v>
      </c>
    </row>
    <row r="9" spans="1:14" x14ac:dyDescent="0.25">
      <c r="A9" t="s">
        <v>11</v>
      </c>
      <c r="B9">
        <v>48</v>
      </c>
      <c r="C9">
        <v>78</v>
      </c>
      <c r="D9">
        <v>78</v>
      </c>
      <c r="I9">
        <f>VLOOKUP("Student_13",A1:D20,3,FALSE)</f>
        <v>45</v>
      </c>
    </row>
    <row r="10" spans="1:14" x14ac:dyDescent="0.25">
      <c r="A10" t="s">
        <v>12</v>
      </c>
      <c r="B10">
        <v>87</v>
      </c>
      <c r="C10">
        <v>56</v>
      </c>
      <c r="D10">
        <v>80</v>
      </c>
    </row>
    <row r="11" spans="1:14" x14ac:dyDescent="0.25">
      <c r="A11" t="s">
        <v>13</v>
      </c>
      <c r="B11">
        <v>46</v>
      </c>
      <c r="C11">
        <v>91</v>
      </c>
      <c r="D11">
        <v>50</v>
      </c>
    </row>
    <row r="12" spans="1:14" x14ac:dyDescent="0.25">
      <c r="A12" t="s">
        <v>14</v>
      </c>
      <c r="B12">
        <v>83</v>
      </c>
      <c r="C12">
        <v>42</v>
      </c>
      <c r="D12">
        <v>74</v>
      </c>
    </row>
    <row r="13" spans="1:14" x14ac:dyDescent="0.25">
      <c r="A13" t="s">
        <v>15</v>
      </c>
      <c r="B13">
        <v>87</v>
      </c>
      <c r="C13">
        <v>86</v>
      </c>
      <c r="D13">
        <v>86</v>
      </c>
    </row>
    <row r="14" spans="1:14" x14ac:dyDescent="0.25">
      <c r="A14" t="s">
        <v>16</v>
      </c>
      <c r="B14">
        <v>97</v>
      </c>
      <c r="C14">
        <v>45</v>
      </c>
      <c r="D14">
        <v>55</v>
      </c>
    </row>
    <row r="15" spans="1:14" x14ac:dyDescent="0.25">
      <c r="A15" t="s">
        <v>17</v>
      </c>
      <c r="B15">
        <v>74</v>
      </c>
      <c r="C15">
        <v>74</v>
      </c>
      <c r="D15">
        <v>50</v>
      </c>
      <c r="I15" s="4"/>
      <c r="N15" s="4"/>
    </row>
    <row r="16" spans="1:14" x14ac:dyDescent="0.25">
      <c r="A16" t="s">
        <v>18</v>
      </c>
      <c r="B16">
        <v>45</v>
      </c>
      <c r="C16">
        <v>47</v>
      </c>
      <c r="D16">
        <v>69</v>
      </c>
    </row>
    <row r="17" spans="1:4" x14ac:dyDescent="0.25">
      <c r="A17" t="s">
        <v>19</v>
      </c>
      <c r="B17">
        <v>77</v>
      </c>
      <c r="C17">
        <v>99</v>
      </c>
      <c r="D17">
        <v>64</v>
      </c>
    </row>
    <row r="18" spans="1:4" x14ac:dyDescent="0.25">
      <c r="A18" t="s">
        <v>20</v>
      </c>
      <c r="B18">
        <v>67</v>
      </c>
      <c r="C18">
        <v>64</v>
      </c>
      <c r="D18">
        <v>57</v>
      </c>
    </row>
    <row r="19" spans="1:4" x14ac:dyDescent="0.25">
      <c r="A19" t="s">
        <v>21</v>
      </c>
      <c r="B19">
        <v>42</v>
      </c>
      <c r="C19">
        <v>45</v>
      </c>
      <c r="D19">
        <v>99</v>
      </c>
    </row>
    <row r="20" spans="1:4" x14ac:dyDescent="0.25">
      <c r="A20" t="s">
        <v>22</v>
      </c>
      <c r="B20">
        <v>41</v>
      </c>
      <c r="C20">
        <v>75</v>
      </c>
      <c r="D20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3" sqref="B3"/>
    </sheetView>
  </sheetViews>
  <sheetFormatPr defaultRowHeight="15" x14ac:dyDescent="0.25"/>
  <cols>
    <col min="1" max="1" width="20" customWidth="1"/>
    <col min="2" max="2" width="13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>
        <v>84</v>
      </c>
    </row>
    <row r="3" spans="1:2" x14ac:dyDescent="0.25">
      <c r="A3" t="s">
        <v>5</v>
      </c>
      <c r="B3">
        <v>47</v>
      </c>
    </row>
    <row r="4" spans="1:2" x14ac:dyDescent="0.25">
      <c r="A4" t="s">
        <v>6</v>
      </c>
      <c r="B4">
        <v>41</v>
      </c>
    </row>
    <row r="5" spans="1:2" x14ac:dyDescent="0.25">
      <c r="A5" t="s">
        <v>7</v>
      </c>
      <c r="B5">
        <v>87</v>
      </c>
    </row>
    <row r="6" spans="1:2" x14ac:dyDescent="0.25">
      <c r="A6" t="s">
        <v>8</v>
      </c>
      <c r="B6">
        <v>57</v>
      </c>
    </row>
    <row r="7" spans="1:2" x14ac:dyDescent="0.25">
      <c r="A7" t="s">
        <v>9</v>
      </c>
      <c r="B7">
        <v>55</v>
      </c>
    </row>
    <row r="8" spans="1:2" x14ac:dyDescent="0.25">
      <c r="A8" t="s">
        <v>10</v>
      </c>
      <c r="B8">
        <v>54</v>
      </c>
    </row>
    <row r="9" spans="1:2" x14ac:dyDescent="0.25">
      <c r="A9" t="s">
        <v>11</v>
      </c>
      <c r="B9">
        <v>48</v>
      </c>
    </row>
    <row r="10" spans="1:2" x14ac:dyDescent="0.25">
      <c r="A10" t="s">
        <v>12</v>
      </c>
      <c r="B10">
        <v>87</v>
      </c>
    </row>
    <row r="11" spans="1:2" x14ac:dyDescent="0.25">
      <c r="A11" t="s">
        <v>13</v>
      </c>
      <c r="B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6" sqref="B6"/>
    </sheetView>
  </sheetViews>
  <sheetFormatPr defaultRowHeight="15" x14ac:dyDescent="0.25"/>
  <cols>
    <col min="1" max="1" width="19.42578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t="s">
        <v>4</v>
      </c>
      <c r="B2">
        <v>46</v>
      </c>
    </row>
    <row r="3" spans="1:2" x14ac:dyDescent="0.25">
      <c r="A3" t="s">
        <v>5</v>
      </c>
      <c r="B3">
        <v>45</v>
      </c>
    </row>
    <row r="4" spans="1:2" x14ac:dyDescent="0.25">
      <c r="A4" t="s">
        <v>6</v>
      </c>
      <c r="B4">
        <v>64</v>
      </c>
    </row>
    <row r="5" spans="1:2" x14ac:dyDescent="0.25">
      <c r="A5" t="s">
        <v>7</v>
      </c>
      <c r="B5">
        <v>23</v>
      </c>
    </row>
    <row r="6" spans="1:2" x14ac:dyDescent="0.25">
      <c r="A6" t="s">
        <v>8</v>
      </c>
      <c r="B6">
        <v>62</v>
      </c>
    </row>
    <row r="7" spans="1:2" x14ac:dyDescent="0.25">
      <c r="A7" t="s">
        <v>9</v>
      </c>
      <c r="B7">
        <v>94</v>
      </c>
    </row>
    <row r="8" spans="1:2" x14ac:dyDescent="0.25">
      <c r="A8" t="s">
        <v>10</v>
      </c>
      <c r="B8">
        <v>62</v>
      </c>
    </row>
    <row r="9" spans="1:2" x14ac:dyDescent="0.25">
      <c r="A9" t="s">
        <v>11</v>
      </c>
      <c r="B9">
        <v>78</v>
      </c>
    </row>
    <row r="10" spans="1:2" x14ac:dyDescent="0.25">
      <c r="A10" t="s">
        <v>12</v>
      </c>
      <c r="B10">
        <v>56</v>
      </c>
    </row>
    <row r="11" spans="1:2" x14ac:dyDescent="0.25">
      <c r="A11" t="s">
        <v>13</v>
      </c>
      <c r="B11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E19" sqref="E19"/>
    </sheetView>
  </sheetViews>
  <sheetFormatPr defaultRowHeight="15" x14ac:dyDescent="0.25"/>
  <cols>
    <col min="1" max="1" width="16.28515625" customWidth="1"/>
    <col min="2" max="2" width="14.28515625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t="s">
        <v>4</v>
      </c>
      <c r="B2">
        <v>82</v>
      </c>
    </row>
    <row r="3" spans="1:2" x14ac:dyDescent="0.25">
      <c r="A3" t="s">
        <v>5</v>
      </c>
      <c r="B3">
        <v>57</v>
      </c>
    </row>
    <row r="4" spans="1:2" x14ac:dyDescent="0.25">
      <c r="A4" t="s">
        <v>6</v>
      </c>
      <c r="B4">
        <v>84</v>
      </c>
    </row>
    <row r="5" spans="1:2" x14ac:dyDescent="0.25">
      <c r="A5" t="s">
        <v>7</v>
      </c>
      <c r="B5">
        <v>99</v>
      </c>
    </row>
    <row r="6" spans="1:2" x14ac:dyDescent="0.25">
      <c r="A6" t="s">
        <v>8</v>
      </c>
      <c r="B6">
        <v>83</v>
      </c>
    </row>
    <row r="7" spans="1:2" x14ac:dyDescent="0.25">
      <c r="A7" t="s">
        <v>9</v>
      </c>
      <c r="B7">
        <v>81</v>
      </c>
    </row>
    <row r="8" spans="1:2" x14ac:dyDescent="0.25">
      <c r="A8" t="s">
        <v>10</v>
      </c>
      <c r="B8">
        <v>44</v>
      </c>
    </row>
    <row r="9" spans="1:2" x14ac:dyDescent="0.25">
      <c r="A9" t="s">
        <v>11</v>
      </c>
      <c r="B9">
        <v>100</v>
      </c>
    </row>
    <row r="10" spans="1:2" x14ac:dyDescent="0.25">
      <c r="A10" t="s">
        <v>12</v>
      </c>
      <c r="B10">
        <v>80</v>
      </c>
    </row>
    <row r="11" spans="1:2" x14ac:dyDescent="0.25">
      <c r="A11" t="s">
        <v>13</v>
      </c>
      <c r="B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zoomScale="119" zoomScaleNormal="238" workbookViewId="0">
      <selection activeCell="D19" sqref="D19"/>
    </sheetView>
  </sheetViews>
  <sheetFormatPr defaultRowHeight="15" x14ac:dyDescent="0.25"/>
  <cols>
    <col min="1" max="1" width="20.140625" customWidth="1"/>
    <col min="2" max="2" width="25" customWidth="1"/>
    <col min="3" max="3" width="22.7109375" customWidth="1"/>
    <col min="4" max="4" width="22.5703125" customWidth="1"/>
    <col min="5" max="5" width="19.85546875" customWidth="1"/>
  </cols>
  <sheetData>
    <row r="1" spans="1:5" x14ac:dyDescent="0.25">
      <c r="A1" s="1" t="s">
        <v>0</v>
      </c>
      <c r="B1" s="2" t="s">
        <v>23</v>
      </c>
      <c r="C1" s="2" t="s">
        <v>24</v>
      </c>
      <c r="D1" s="2" t="s">
        <v>3</v>
      </c>
      <c r="E1" s="3" t="s">
        <v>25</v>
      </c>
    </row>
    <row r="2" spans="1:5" x14ac:dyDescent="0.25">
      <c r="A2" t="s">
        <v>4</v>
      </c>
      <c r="B2">
        <f>VLOOKUP(A2,Sheet4!A1:B11,2,FALSE)</f>
        <v>84</v>
      </c>
      <c r="C2">
        <f>VLOOKUP(A2,Sheet2!A1:B11,2,FALSE)</f>
        <v>46</v>
      </c>
      <c r="D2">
        <f>VLOOKUP(A2,Sheet3!A1:B11,2,FALSE)</f>
        <v>82</v>
      </c>
      <c r="E2">
        <f>ROUND(AVERAGE(B2:D2),2)</f>
        <v>70.67</v>
      </c>
    </row>
    <row r="3" spans="1:5" x14ac:dyDescent="0.25">
      <c r="A3" t="s">
        <v>5</v>
      </c>
      <c r="B3">
        <f>VLOOKUP(A3,Sheet4!A2:B12,2,FALSE)</f>
        <v>47</v>
      </c>
      <c r="C3">
        <f>VLOOKUP(A3,Sheet2!A2:B12,2,FALSE)</f>
        <v>45</v>
      </c>
      <c r="D3">
        <f>VLOOKUP(A3,Sheet3!A2:B12,2,FALSE)</f>
        <v>57</v>
      </c>
      <c r="E3">
        <f t="shared" ref="E3:E11" si="0">ROUND(AVERAGE(B3:D3),2)</f>
        <v>49.67</v>
      </c>
    </row>
    <row r="4" spans="1:5" x14ac:dyDescent="0.25">
      <c r="A4" t="s">
        <v>6</v>
      </c>
      <c r="B4">
        <f>VLOOKUP(A4,Sheet4!A3:B13,2,FALSE)</f>
        <v>41</v>
      </c>
      <c r="C4">
        <f>VLOOKUP(A4,Sheet2!A3:B13,2,FALSE)</f>
        <v>64</v>
      </c>
      <c r="D4">
        <f>VLOOKUP(A4,Sheet3!A3:B13,2,FALSE)</f>
        <v>84</v>
      </c>
      <c r="E4">
        <f t="shared" si="0"/>
        <v>63</v>
      </c>
    </row>
    <row r="5" spans="1:5" x14ac:dyDescent="0.25">
      <c r="A5" t="s">
        <v>7</v>
      </c>
      <c r="B5">
        <f>VLOOKUP(A5,Sheet4!A4:B14,2,FALSE)</f>
        <v>87</v>
      </c>
      <c r="C5">
        <f>VLOOKUP(A5,Sheet2!A4:B14,2,FALSE)</f>
        <v>23</v>
      </c>
      <c r="D5">
        <f>VLOOKUP(A5,Sheet3!A4:B14,2,FALSE)</f>
        <v>99</v>
      </c>
      <c r="E5">
        <f t="shared" si="0"/>
        <v>69.67</v>
      </c>
    </row>
    <row r="6" spans="1:5" x14ac:dyDescent="0.25">
      <c r="A6" t="s">
        <v>8</v>
      </c>
      <c r="B6">
        <f>VLOOKUP(A6,Sheet4!A5:B15,2,FALSE)</f>
        <v>57</v>
      </c>
      <c r="C6">
        <f>VLOOKUP(A6,Sheet2!A5:B15,2,FALSE)</f>
        <v>62</v>
      </c>
      <c r="D6">
        <f>VLOOKUP(A6,Sheet3!A5:B15,2,FALSE)</f>
        <v>83</v>
      </c>
      <c r="E6">
        <f t="shared" si="0"/>
        <v>67.33</v>
      </c>
    </row>
    <row r="7" spans="1:5" x14ac:dyDescent="0.25">
      <c r="A7" t="s">
        <v>9</v>
      </c>
      <c r="B7">
        <f>VLOOKUP(A7,Sheet4!A6:B16,2,FALSE)</f>
        <v>55</v>
      </c>
      <c r="C7">
        <f>VLOOKUP(A7,Sheet2!A6:B16,2,FALSE)</f>
        <v>94</v>
      </c>
      <c r="D7">
        <f>VLOOKUP(A7,Sheet3!A6:B16,2,FALSE)</f>
        <v>81</v>
      </c>
      <c r="E7">
        <f t="shared" si="0"/>
        <v>76.67</v>
      </c>
    </row>
    <row r="8" spans="1:5" x14ac:dyDescent="0.25">
      <c r="A8" t="s">
        <v>10</v>
      </c>
      <c r="B8">
        <f>VLOOKUP(A8,Sheet4!A7:B17,2,FALSE)</f>
        <v>54</v>
      </c>
      <c r="C8">
        <f>VLOOKUP(A8,Sheet2!A7:B17,2,FALSE)</f>
        <v>62</v>
      </c>
      <c r="D8">
        <f>VLOOKUP(A8,Sheet3!A7:B17,2,FALSE)</f>
        <v>44</v>
      </c>
      <c r="E8">
        <f t="shared" si="0"/>
        <v>53.33</v>
      </c>
    </row>
    <row r="9" spans="1:5" x14ac:dyDescent="0.25">
      <c r="A9" t="s">
        <v>11</v>
      </c>
      <c r="B9">
        <f>VLOOKUP(A9,Sheet4!A8:B18,2,FALSE)</f>
        <v>48</v>
      </c>
      <c r="C9">
        <f>VLOOKUP(A9,Sheet2!A8:B18,2,FALSE)</f>
        <v>78</v>
      </c>
      <c r="D9">
        <f>VLOOKUP(A9,Sheet3!A8:B18,2,FALSE)</f>
        <v>100</v>
      </c>
      <c r="E9">
        <f t="shared" si="0"/>
        <v>75.33</v>
      </c>
    </row>
    <row r="10" spans="1:5" x14ac:dyDescent="0.25">
      <c r="A10" t="s">
        <v>12</v>
      </c>
      <c r="B10">
        <f>VLOOKUP(A10,Sheet4!A9:B19,2,FALSE)</f>
        <v>87</v>
      </c>
      <c r="C10">
        <f>VLOOKUP(A10,Sheet2!A9:B19,2,FALSE)</f>
        <v>56</v>
      </c>
      <c r="D10">
        <f>VLOOKUP(A10,Sheet3!A9:B19,2,FALSE)</f>
        <v>80</v>
      </c>
      <c r="E10">
        <f t="shared" si="0"/>
        <v>74.33</v>
      </c>
    </row>
    <row r="11" spans="1:5" x14ac:dyDescent="0.25">
      <c r="A11" t="s">
        <v>13</v>
      </c>
      <c r="B11">
        <f>VLOOKUP(A11,Sheet4!A10:B20,2,FALSE)</f>
        <v>46</v>
      </c>
      <c r="C11">
        <f>VLOOKUP(A11,Sheet2!A10:B20,2,FALSE)</f>
        <v>91</v>
      </c>
      <c r="D11">
        <f>VLOOKUP(A11,Sheet3!A10:B20,2,FALSE)</f>
        <v>50</v>
      </c>
      <c r="E11">
        <f t="shared" si="0"/>
        <v>62.33</v>
      </c>
    </row>
    <row r="15" spans="1:5" x14ac:dyDescent="0.25">
      <c r="B15" t="s">
        <v>26</v>
      </c>
      <c r="C15" t="s">
        <v>27</v>
      </c>
      <c r="D15" t="s">
        <v>29</v>
      </c>
      <c r="E15" t="s">
        <v>28</v>
      </c>
    </row>
    <row r="16" spans="1:5" x14ac:dyDescent="0.25">
      <c r="B16">
        <v>21</v>
      </c>
      <c r="C16">
        <v>23</v>
      </c>
      <c r="D16">
        <v>65</v>
      </c>
      <c r="E16">
        <v>98</v>
      </c>
    </row>
    <row r="19" spans="3:3" x14ac:dyDescent="0.25">
      <c r="C19">
        <f>HLOOKUP(D15,B15:E16,2,FALSE)</f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Sheet</vt:lpstr>
      <vt:lpstr>Sheet4</vt:lpstr>
      <vt:lpstr>Sheet2</vt:lpstr>
      <vt:lpstr>Sheet3</vt:lpstr>
      <vt:lpstr>Final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Dhawal Dwivedi</cp:lastModifiedBy>
  <dcterms:created xsi:type="dcterms:W3CDTF">2025-05-10T17:52:16Z</dcterms:created>
  <dcterms:modified xsi:type="dcterms:W3CDTF">2026-05-27T12:55:04Z</dcterms:modified>
</cp:coreProperties>
</file>